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teams\Eva+ข้าวกล้อง+เฌอ+แอร์เพลน\"/>
    </mc:Choice>
  </mc:AlternateContent>
  <xr:revisionPtr revIDLastSave="0" documentId="13_ncr:1_{E8E0C423-8923-4F56-BE58-77231825A806}" xr6:coauthVersionLast="47" xr6:coauthVersionMax="47" xr10:uidLastSave="{00000000-0000-0000-0000-000000000000}"/>
  <bookViews>
    <workbookView xWindow="-108" yWindow="-108" windowWidth="23256" windowHeight="12456" activeTab="5" xr2:uid="{087DE6F0-C6CB-4C8E-A57B-174BB62E415A}"/>
  </bookViews>
  <sheets>
    <sheet name="14-3-26" sheetId="1" r:id="rId1"/>
    <sheet name="15-3-26" sheetId="2" r:id="rId2"/>
    <sheet name="20-3-26" sheetId="3" r:id="rId3"/>
    <sheet name="21-3-26" sheetId="4" r:id="rId4"/>
    <sheet name="Success rate" sheetId="5" r:id="rId5"/>
    <sheet name="Mean&amp;S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6" l="1"/>
  <c r="U22" i="6"/>
  <c r="U23" i="6"/>
  <c r="U24" i="6"/>
  <c r="U25" i="6"/>
  <c r="U26" i="6"/>
  <c r="M23" i="6"/>
  <c r="M24" i="6"/>
  <c r="M25" i="6"/>
  <c r="M26" i="6"/>
  <c r="M22" i="6"/>
  <c r="M15" i="6"/>
  <c r="M16" i="6"/>
  <c r="M4" i="6"/>
  <c r="M5" i="6"/>
  <c r="M6" i="6"/>
  <c r="M7" i="6"/>
  <c r="M8" i="6"/>
  <c r="T23" i="6"/>
  <c r="T24" i="6"/>
  <c r="T25" i="6"/>
  <c r="T26" i="6"/>
  <c r="T22" i="6"/>
  <c r="L14" i="6"/>
  <c r="L15" i="6"/>
  <c r="L16" i="6"/>
  <c r="L22" i="6"/>
  <c r="L23" i="6"/>
  <c r="L24" i="6"/>
  <c r="L25" i="6"/>
  <c r="L26" i="6"/>
  <c r="L5" i="6"/>
  <c r="L6" i="6"/>
  <c r="L7" i="6"/>
  <c r="L8" i="6"/>
  <c r="L4" i="6"/>
  <c r="K5" i="5"/>
  <c r="I7" i="4"/>
  <c r="H7" i="4"/>
  <c r="I6" i="4"/>
  <c r="H6" i="4"/>
  <c r="I27" i="4"/>
  <c r="H22" i="4"/>
  <c r="I22" i="4"/>
  <c r="H23" i="4"/>
  <c r="I23" i="4"/>
  <c r="H24" i="4"/>
  <c r="I24" i="4"/>
  <c r="H25" i="4"/>
  <c r="I25" i="4"/>
  <c r="H28" i="4"/>
  <c r="I28" i="4"/>
  <c r="H29" i="4"/>
  <c r="I29" i="4"/>
  <c r="H30" i="4"/>
  <c r="I30" i="4"/>
  <c r="H9" i="4"/>
  <c r="I9" i="4"/>
  <c r="H10" i="4"/>
  <c r="I10" i="4"/>
  <c r="H12" i="4"/>
  <c r="I12" i="4"/>
  <c r="H13" i="4"/>
  <c r="I13" i="4"/>
  <c r="H14" i="4"/>
  <c r="I14" i="4"/>
  <c r="H15" i="4"/>
  <c r="I15" i="4"/>
  <c r="H19" i="4"/>
  <c r="I19" i="4"/>
  <c r="H20" i="4"/>
  <c r="I20" i="4"/>
  <c r="I18" i="4"/>
  <c r="I17" i="4"/>
  <c r="H18" i="4"/>
  <c r="H17" i="4"/>
  <c r="G7" i="3"/>
  <c r="G8" i="3"/>
  <c r="G9" i="3"/>
  <c r="G10" i="3"/>
  <c r="G11" i="3"/>
  <c r="G13" i="3"/>
  <c r="G14" i="3"/>
  <c r="G15" i="3"/>
  <c r="G16" i="3"/>
  <c r="G17" i="3"/>
  <c r="G18" i="3"/>
  <c r="G20" i="3"/>
  <c r="G21" i="3"/>
  <c r="G22" i="3"/>
  <c r="G23" i="3"/>
  <c r="G24" i="3"/>
  <c r="G25" i="3"/>
  <c r="G6" i="3"/>
  <c r="G7" i="2"/>
  <c r="G8" i="2"/>
  <c r="G10" i="2"/>
  <c r="G11" i="2"/>
  <c r="G12" i="2"/>
  <c r="G14" i="2"/>
  <c r="G15" i="2"/>
  <c r="G16" i="2"/>
  <c r="G6" i="2"/>
  <c r="G14" i="1"/>
  <c r="G10" i="1"/>
  <c r="G11" i="1"/>
  <c r="G12" i="1"/>
  <c r="G15" i="1"/>
  <c r="G16" i="1"/>
  <c r="G18" i="1"/>
  <c r="G19" i="1"/>
  <c r="G20" i="1"/>
  <c r="G22" i="1"/>
  <c r="G23" i="1"/>
  <c r="G24" i="1"/>
  <c r="G7" i="1"/>
  <c r="G8" i="1"/>
  <c r="G6" i="1"/>
  <c r="H27" i="4" l="1"/>
</calcChain>
</file>

<file path=xl/sharedStrings.xml><?xml version="1.0" encoding="utf-8"?>
<sst xmlns="http://schemas.openxmlformats.org/spreadsheetml/2006/main" count="129" uniqueCount="88">
  <si>
    <t>Chi</t>
  </si>
  <si>
    <t>Probe</t>
  </si>
  <si>
    <t>Temperatures</t>
  </si>
  <si>
    <t>Temperatures (Round 2)</t>
  </si>
  <si>
    <t>Probe + Target</t>
  </si>
  <si>
    <t>Target</t>
  </si>
  <si>
    <t>Probe-Chi</t>
  </si>
  <si>
    <t>0 uM-1</t>
  </si>
  <si>
    <t>0 uM-2</t>
  </si>
  <si>
    <t>0 uM-3</t>
  </si>
  <si>
    <t>5 uM-1</t>
  </si>
  <si>
    <t>5 uM-2</t>
  </si>
  <si>
    <t>5 uM-3</t>
  </si>
  <si>
    <t>10 uM-1</t>
  </si>
  <si>
    <t>10 uM-2</t>
  </si>
  <si>
    <t>10 uM-3</t>
  </si>
  <si>
    <t>20 uM-1</t>
  </si>
  <si>
    <t>20 uM-2</t>
  </si>
  <si>
    <t>20 uM-3</t>
  </si>
  <si>
    <t>40 uM-1</t>
  </si>
  <si>
    <t>40 uM-2</t>
  </si>
  <si>
    <t>40 uM-3</t>
  </si>
  <si>
    <t>Probe concentrations @RT</t>
  </si>
  <si>
    <t>10 uM Probe</t>
  </si>
  <si>
    <t>RT-1</t>
  </si>
  <si>
    <t>RT-2</t>
  </si>
  <si>
    <t>RT-3</t>
  </si>
  <si>
    <t>37C-1</t>
  </si>
  <si>
    <t>37C-2</t>
  </si>
  <si>
    <t>37C-3</t>
  </si>
  <si>
    <t>60C-1</t>
  </si>
  <si>
    <t>60C-2</t>
  </si>
  <si>
    <t>60C-3</t>
  </si>
  <si>
    <t>RT-1-1</t>
  </si>
  <si>
    <t>RT-1-2</t>
  </si>
  <si>
    <t>RT-2-1</t>
  </si>
  <si>
    <t>RT-2-2</t>
  </si>
  <si>
    <t>RT-3-1</t>
  </si>
  <si>
    <t>RT-3-2</t>
  </si>
  <si>
    <t>37C-1-1</t>
  </si>
  <si>
    <t>37C-1-2</t>
  </si>
  <si>
    <t>37C-2-1</t>
  </si>
  <si>
    <t>37C-2-2</t>
  </si>
  <si>
    <t>37C-3-1</t>
  </si>
  <si>
    <t>37C-3-2</t>
  </si>
  <si>
    <t>60C-1-1</t>
  </si>
  <si>
    <t>60C-1-2</t>
  </si>
  <si>
    <t>60C-2-1</t>
  </si>
  <si>
    <t>60C-2-2</t>
  </si>
  <si>
    <t>60C-3-1</t>
  </si>
  <si>
    <t>60C-3-2</t>
  </si>
  <si>
    <t>RT</t>
  </si>
  <si>
    <t>37C</t>
  </si>
  <si>
    <t>60C</t>
  </si>
  <si>
    <t>0 uM</t>
  </si>
  <si>
    <t>5 uM</t>
  </si>
  <si>
    <t>10 uM</t>
  </si>
  <si>
    <t>20 uM</t>
  </si>
  <si>
    <t>40 uM</t>
  </si>
  <si>
    <t>Target-Probe</t>
  </si>
  <si>
    <t>Target 1uM-1-1</t>
  </si>
  <si>
    <t>Target 1uM-1-2</t>
  </si>
  <si>
    <t>Target 1uM-2-1</t>
  </si>
  <si>
    <t>Target 1uM-2-2</t>
  </si>
  <si>
    <t>Target 5uM-1-2</t>
  </si>
  <si>
    <t>Target 5uM-1-1</t>
  </si>
  <si>
    <t>Target 5uM-2-1</t>
  </si>
  <si>
    <t>Target 5uM-2-2</t>
  </si>
  <si>
    <t>Target 10uM-1-1</t>
  </si>
  <si>
    <t>Target 10uM-1-2</t>
  </si>
  <si>
    <t>Target 10uM-2-1</t>
  </si>
  <si>
    <t>Target 10uM-2-2</t>
  </si>
  <si>
    <t>Target 0.5uM-1-1</t>
  </si>
  <si>
    <t>Target 0.5uM-1-2</t>
  </si>
  <si>
    <t>Target 0.5uM-2-1</t>
  </si>
  <si>
    <t>Target 0.5uM-2-2</t>
  </si>
  <si>
    <t>Target 0uM-1-1</t>
  </si>
  <si>
    <t>Target 0uM-1-2</t>
  </si>
  <si>
    <t>Target 0uM-2-1</t>
  </si>
  <si>
    <t>Target 0uM-2-2</t>
  </si>
  <si>
    <t>0.5 uM</t>
  </si>
  <si>
    <t>1 uM</t>
  </si>
  <si>
    <t>Total =</t>
  </si>
  <si>
    <t>Success =</t>
  </si>
  <si>
    <t>Rate =</t>
  </si>
  <si>
    <t>Temperatures (R1+R2)</t>
  </si>
  <si>
    <t>Mean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</si>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</sst>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/>
  </cellXfs>
  <cellStyles count="1">
    <cellStyle name="ปกติ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0CB5-479C-4E9E-8BEE-659A5297B3BE}">
  <dimension ref="A1:N24"/>
  <sheetViews>
    <sheetView zoomScale="85" zoomScaleNormal="85" workbookViewId="0">
      <selection activeCell="K6" sqref="K6:N10"/>
    </sheetView>
  </sheetViews>
  <sheetFormatPr defaultColWidth="12.8984375" defaultRowHeight="13.8" x14ac:dyDescent="0.25"/>
  <cols>
    <col min="3" max="3" width="2.8984375" customWidth="1"/>
    <col min="6" max="6" width="4.3984375" customWidth="1"/>
    <col min="8" max="8" width="5.5" customWidth="1"/>
    <col min="10" max="10" width="5.09765625" customWidth="1"/>
  </cols>
  <sheetData>
    <row r="1" spans="1:14" x14ac:dyDescent="0.25">
      <c r="A1" t="s">
        <v>22</v>
      </c>
    </row>
    <row r="5" spans="1:14" x14ac:dyDescent="0.25">
      <c r="D5" t="s">
        <v>0</v>
      </c>
      <c r="E5" t="s">
        <v>1</v>
      </c>
      <c r="G5" t="s">
        <v>6</v>
      </c>
      <c r="I5" t="s">
        <v>6</v>
      </c>
    </row>
    <row r="6" spans="1:14" x14ac:dyDescent="0.25">
      <c r="A6" t="s">
        <v>7</v>
      </c>
      <c r="D6">
        <v>9975939.318404261</v>
      </c>
      <c r="E6">
        <v>9975954.9007266425</v>
      </c>
      <c r="G6">
        <f>E6-D6</f>
        <v>15.582322381436825</v>
      </c>
      <c r="I6">
        <v>15.582322381436825</v>
      </c>
      <c r="K6" t="s">
        <v>54</v>
      </c>
      <c r="L6">
        <v>15.582322381436825</v>
      </c>
      <c r="M6">
        <v>8.9860213790088892</v>
      </c>
      <c r="N6">
        <v>7.2432940807193518</v>
      </c>
    </row>
    <row r="7" spans="1:14" x14ac:dyDescent="0.25">
      <c r="A7" t="s">
        <v>8</v>
      </c>
      <c r="D7">
        <v>9993756.0289436616</v>
      </c>
      <c r="E7">
        <v>9993765.0149650406</v>
      </c>
      <c r="G7">
        <f t="shared" ref="G7:G24" si="0">E7-D7</f>
        <v>8.9860213790088892</v>
      </c>
      <c r="I7">
        <v>8.9860213790088892</v>
      </c>
      <c r="K7" t="s">
        <v>55</v>
      </c>
      <c r="L7">
        <v>8.6966116949915886</v>
      </c>
      <c r="M7">
        <v>-12.967196995392442</v>
      </c>
      <c r="N7">
        <v>-30.230052884668112</v>
      </c>
    </row>
    <row r="8" spans="1:14" x14ac:dyDescent="0.25">
      <c r="A8" t="s">
        <v>9</v>
      </c>
      <c r="D8">
        <v>9997415.044234883</v>
      </c>
      <c r="E8">
        <v>9997422.2875289638</v>
      </c>
      <c r="G8">
        <f t="shared" si="0"/>
        <v>7.2432940807193518</v>
      </c>
      <c r="I8">
        <v>7.2432940807193518</v>
      </c>
      <c r="K8" t="s">
        <v>56</v>
      </c>
      <c r="L8">
        <v>-32.085961055010557</v>
      </c>
      <c r="M8">
        <v>-50.631972327828407</v>
      </c>
      <c r="N8">
        <v>-106.16166539676487</v>
      </c>
    </row>
    <row r="9" spans="1:14" x14ac:dyDescent="0.25">
      <c r="K9" t="s">
        <v>57</v>
      </c>
      <c r="L9">
        <v>-10.125541990622878</v>
      </c>
      <c r="M9">
        <v>-34.653898620977998</v>
      </c>
      <c r="N9">
        <v>-95.50781144015491</v>
      </c>
    </row>
    <row r="10" spans="1:14" x14ac:dyDescent="0.25">
      <c r="A10" t="s">
        <v>10</v>
      </c>
      <c r="D10">
        <v>9993002.0728531852</v>
      </c>
      <c r="E10">
        <v>9993010.7694648802</v>
      </c>
      <c r="G10">
        <f t="shared" si="0"/>
        <v>8.6966116949915886</v>
      </c>
      <c r="I10">
        <v>8.6966116949915886</v>
      </c>
      <c r="K10" t="s">
        <v>58</v>
      </c>
      <c r="L10">
        <v>-42.934753093868494</v>
      </c>
      <c r="M10">
        <v>-11.885040646418929</v>
      </c>
      <c r="N10">
        <v>-77.775928396731615</v>
      </c>
    </row>
    <row r="11" spans="1:14" x14ac:dyDescent="0.25">
      <c r="A11" t="s">
        <v>11</v>
      </c>
      <c r="D11">
        <v>9993809.9396585356</v>
      </c>
      <c r="E11">
        <v>9993796.9724615403</v>
      </c>
      <c r="G11">
        <f t="shared" si="0"/>
        <v>-12.967196995392442</v>
      </c>
      <c r="I11">
        <v>-12.967196995392442</v>
      </c>
    </row>
    <row r="12" spans="1:14" x14ac:dyDescent="0.25">
      <c r="A12" t="s">
        <v>12</v>
      </c>
      <c r="D12">
        <v>9993813.9302135278</v>
      </c>
      <c r="E12">
        <v>9993783.7001606431</v>
      </c>
      <c r="G12">
        <f t="shared" si="0"/>
        <v>-30.230052884668112</v>
      </c>
      <c r="I12">
        <v>-30.230052884668112</v>
      </c>
    </row>
    <row r="14" spans="1:14" x14ac:dyDescent="0.25">
      <c r="A14" t="s">
        <v>13</v>
      </c>
      <c r="D14">
        <v>9981873.9744709861</v>
      </c>
      <c r="E14">
        <v>9981841.888509931</v>
      </c>
      <c r="G14">
        <f t="shared" si="0"/>
        <v>-32.085961055010557</v>
      </c>
      <c r="I14">
        <v>-32.085961055010557</v>
      </c>
    </row>
    <row r="15" spans="1:14" x14ac:dyDescent="0.25">
      <c r="A15" t="s">
        <v>14</v>
      </c>
      <c r="D15">
        <v>9994542.0083737038</v>
      </c>
      <c r="E15">
        <v>9994491.376401376</v>
      </c>
      <c r="G15">
        <f t="shared" si="0"/>
        <v>-50.631972327828407</v>
      </c>
      <c r="I15">
        <v>-50.631972327828407</v>
      </c>
    </row>
    <row r="16" spans="1:14" x14ac:dyDescent="0.25">
      <c r="A16" t="s">
        <v>15</v>
      </c>
      <c r="D16">
        <v>9977933.0314189233</v>
      </c>
      <c r="E16">
        <v>9977826.8697535265</v>
      </c>
      <c r="G16">
        <f t="shared" si="0"/>
        <v>-106.16166539676487</v>
      </c>
      <c r="I16">
        <v>-106.16166539676487</v>
      </c>
    </row>
    <row r="18" spans="1:9" x14ac:dyDescent="0.25">
      <c r="A18" t="s">
        <v>16</v>
      </c>
      <c r="D18">
        <v>9987650.0181506872</v>
      </c>
      <c r="E18">
        <v>9987639.8926086966</v>
      </c>
      <c r="G18">
        <f t="shared" si="0"/>
        <v>-10.125541990622878</v>
      </c>
      <c r="I18">
        <v>-10.125541990622878</v>
      </c>
    </row>
    <row r="19" spans="1:9" x14ac:dyDescent="0.25">
      <c r="A19" t="s">
        <v>17</v>
      </c>
      <c r="D19">
        <v>9972690.9604072422</v>
      </c>
      <c r="E19">
        <v>9972656.3065086212</v>
      </c>
      <c r="G19">
        <f t="shared" si="0"/>
        <v>-34.653898620977998</v>
      </c>
      <c r="I19">
        <v>-34.653898620977998</v>
      </c>
    </row>
    <row r="20" spans="1:9" x14ac:dyDescent="0.25">
      <c r="A20" t="s">
        <v>18</v>
      </c>
      <c r="D20">
        <v>9990309.5815488119</v>
      </c>
      <c r="E20">
        <v>9990214.0737373717</v>
      </c>
      <c r="G20">
        <f t="shared" si="0"/>
        <v>-95.50781144015491</v>
      </c>
      <c r="I20">
        <v>-95.50781144015491</v>
      </c>
    </row>
    <row r="22" spans="1:9" x14ac:dyDescent="0.25">
      <c r="A22" t="s">
        <v>19</v>
      </c>
      <c r="D22">
        <v>9984711.0050617326</v>
      </c>
      <c r="E22">
        <v>9984668.0703086387</v>
      </c>
      <c r="G22">
        <f t="shared" si="0"/>
        <v>-42.934753093868494</v>
      </c>
      <c r="I22">
        <v>-42.934753093868494</v>
      </c>
    </row>
    <row r="23" spans="1:9" x14ac:dyDescent="0.25">
      <c r="A23" t="s">
        <v>20</v>
      </c>
      <c r="D23">
        <v>9984751.8884959295</v>
      </c>
      <c r="E23">
        <v>9984740.0034552831</v>
      </c>
      <c r="G23">
        <f t="shared" si="0"/>
        <v>-11.885040646418929</v>
      </c>
      <c r="I23">
        <v>-11.885040646418929</v>
      </c>
    </row>
    <row r="24" spans="1:9" x14ac:dyDescent="0.25">
      <c r="A24" t="s">
        <v>21</v>
      </c>
      <c r="D24">
        <v>9999947.0556172803</v>
      </c>
      <c r="E24">
        <v>9999869.2796888836</v>
      </c>
      <c r="G24">
        <f t="shared" si="0"/>
        <v>-77.775928396731615</v>
      </c>
      <c r="I24">
        <v>-77.775928396731615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DF41-A386-47CB-980B-972EF95F3DF6}">
  <dimension ref="A1:N17"/>
  <sheetViews>
    <sheetView zoomScale="90" zoomScaleNormal="90" workbookViewId="0">
      <selection activeCell="K6" sqref="K6:N8"/>
    </sheetView>
  </sheetViews>
  <sheetFormatPr defaultColWidth="12.8984375" defaultRowHeight="13.8" x14ac:dyDescent="0.25"/>
  <cols>
    <col min="3" max="3" width="2.8984375" customWidth="1"/>
    <col min="6" max="6" width="2.796875" customWidth="1"/>
    <col min="8" max="8" width="4.19921875" customWidth="1"/>
    <col min="10" max="10" width="4.796875" customWidth="1"/>
  </cols>
  <sheetData>
    <row r="1" spans="1:14" x14ac:dyDescent="0.25">
      <c r="A1" t="s">
        <v>2</v>
      </c>
    </row>
    <row r="2" spans="1:14" x14ac:dyDescent="0.25">
      <c r="A2" t="s">
        <v>23</v>
      </c>
    </row>
    <row r="5" spans="1:14" x14ac:dyDescent="0.25">
      <c r="D5" t="s">
        <v>0</v>
      </c>
      <c r="E5" t="s">
        <v>1</v>
      </c>
      <c r="G5" t="s">
        <v>6</v>
      </c>
      <c r="I5" t="s">
        <v>6</v>
      </c>
    </row>
    <row r="6" spans="1:14" x14ac:dyDescent="0.25">
      <c r="A6" t="s">
        <v>24</v>
      </c>
      <c r="D6">
        <v>9996703.576789286</v>
      </c>
      <c r="E6">
        <v>9976104.3782623</v>
      </c>
      <c r="G6" s="1">
        <f>E6-D6</f>
        <v>-20599.198526985943</v>
      </c>
      <c r="I6">
        <v>-20599.198526985943</v>
      </c>
      <c r="K6" t="s">
        <v>51</v>
      </c>
      <c r="L6">
        <v>-20599.198526985943</v>
      </c>
      <c r="M6">
        <v>-140.04428234882653</v>
      </c>
      <c r="N6">
        <v>62.608407964929938</v>
      </c>
    </row>
    <row r="7" spans="1:14" x14ac:dyDescent="0.25">
      <c r="A7" t="s">
        <v>25</v>
      </c>
      <c r="D7">
        <v>9976085.4858937208</v>
      </c>
      <c r="E7">
        <v>9975945.4416113719</v>
      </c>
      <c r="G7" s="2">
        <f t="shared" ref="G7:G16" si="0">E7-D7</f>
        <v>-140.04428234882653</v>
      </c>
      <c r="I7">
        <v>-140.04428234882653</v>
      </c>
      <c r="K7" t="s">
        <v>52</v>
      </c>
      <c r="L7">
        <v>-10.2950310241431</v>
      </c>
      <c r="M7">
        <v>21.995312502607703</v>
      </c>
      <c r="N7">
        <v>105.87923610769212</v>
      </c>
    </row>
    <row r="8" spans="1:14" x14ac:dyDescent="0.25">
      <c r="A8" t="s">
        <v>26</v>
      </c>
      <c r="D8">
        <v>9987539.364208864</v>
      </c>
      <c r="E8">
        <v>9987601.972616829</v>
      </c>
      <c r="G8" s="2">
        <f t="shared" si="0"/>
        <v>62.608407964929938</v>
      </c>
      <c r="I8">
        <v>62.608407964929938</v>
      </c>
      <c r="K8" t="s">
        <v>53</v>
      </c>
      <c r="L8">
        <v>32.883554916828871</v>
      </c>
      <c r="M8">
        <v>5.9041742794215679</v>
      </c>
      <c r="N8">
        <v>0.56046426296234131</v>
      </c>
    </row>
    <row r="9" spans="1:14" x14ac:dyDescent="0.25">
      <c r="G9" s="2"/>
    </row>
    <row r="10" spans="1:14" x14ac:dyDescent="0.25">
      <c r="A10" t="s">
        <v>27</v>
      </c>
      <c r="D10">
        <v>9983657.5314893648</v>
      </c>
      <c r="E10">
        <v>9983647.2364583407</v>
      </c>
      <c r="G10" s="2">
        <f t="shared" si="0"/>
        <v>-10.2950310241431</v>
      </c>
      <c r="I10">
        <v>-10.2950310241431</v>
      </c>
    </row>
    <row r="11" spans="1:14" x14ac:dyDescent="0.25">
      <c r="A11" t="s">
        <v>28</v>
      </c>
      <c r="D11">
        <v>9984425.0767013896</v>
      </c>
      <c r="E11">
        <v>9984447.0720138922</v>
      </c>
      <c r="G11" s="2">
        <f t="shared" si="0"/>
        <v>21.995312502607703</v>
      </c>
      <c r="I11">
        <v>21.995312502607703</v>
      </c>
    </row>
    <row r="12" spans="1:14" x14ac:dyDescent="0.25">
      <c r="A12" t="s">
        <v>29</v>
      </c>
      <c r="D12">
        <v>9973417.6550694406</v>
      </c>
      <c r="E12">
        <v>9973523.5343055483</v>
      </c>
      <c r="G12" s="2">
        <f t="shared" si="0"/>
        <v>105.87923610769212</v>
      </c>
      <c r="I12">
        <v>105.87923610769212</v>
      </c>
    </row>
    <row r="13" spans="1:14" x14ac:dyDescent="0.25">
      <c r="G13" s="2"/>
    </row>
    <row r="14" spans="1:14" x14ac:dyDescent="0.25">
      <c r="A14" t="s">
        <v>30</v>
      </c>
      <c r="D14">
        <v>9994828.7400000002</v>
      </c>
      <c r="E14">
        <v>9994861.6235549171</v>
      </c>
      <c r="G14" s="2">
        <f t="shared" si="0"/>
        <v>32.883554916828871</v>
      </c>
      <c r="I14">
        <v>32.883554916828871</v>
      </c>
    </row>
    <row r="15" spans="1:14" x14ac:dyDescent="0.25">
      <c r="A15" t="s">
        <v>31</v>
      </c>
      <c r="D15">
        <v>9994020.6460333262</v>
      </c>
      <c r="E15">
        <v>9994026.5502076056</v>
      </c>
      <c r="G15" s="2">
        <f t="shared" si="0"/>
        <v>5.9041742794215679</v>
      </c>
      <c r="I15">
        <v>5.9041742794215679</v>
      </c>
    </row>
    <row r="16" spans="1:14" x14ac:dyDescent="0.25">
      <c r="A16" t="s">
        <v>32</v>
      </c>
      <c r="D16">
        <v>9986459.1894954033</v>
      </c>
      <c r="E16">
        <v>9986459.7499596663</v>
      </c>
      <c r="G16" s="2">
        <f t="shared" si="0"/>
        <v>0.56046426296234131</v>
      </c>
      <c r="I16">
        <v>0.56046426296234131</v>
      </c>
    </row>
    <row r="17" spans="7:7" x14ac:dyDescent="0.25">
      <c r="G17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E3D6-631F-4BBD-B7BC-294192E552A0}">
  <dimension ref="A1:Q26"/>
  <sheetViews>
    <sheetView zoomScale="85" zoomScaleNormal="85" workbookViewId="0">
      <selection activeCell="N26" sqref="N26"/>
    </sheetView>
  </sheetViews>
  <sheetFormatPr defaultColWidth="13.296875" defaultRowHeight="13.8" x14ac:dyDescent="0.25"/>
  <cols>
    <col min="3" max="3" width="4.09765625" customWidth="1"/>
    <col min="6" max="6" width="2.3984375" customWidth="1"/>
    <col min="8" max="8" width="4.69921875" customWidth="1"/>
    <col min="10" max="10" width="7.09765625" customWidth="1"/>
    <col min="11" max="11" width="7.69921875" customWidth="1"/>
  </cols>
  <sheetData>
    <row r="1" spans="1:17" x14ac:dyDescent="0.25">
      <c r="A1" t="s">
        <v>3</v>
      </c>
    </row>
    <row r="2" spans="1:17" x14ac:dyDescent="0.25">
      <c r="A2" t="s">
        <v>23</v>
      </c>
    </row>
    <row r="5" spans="1:17" x14ac:dyDescent="0.25">
      <c r="D5" t="s">
        <v>0</v>
      </c>
      <c r="E5" t="s">
        <v>1</v>
      </c>
      <c r="G5" t="s">
        <v>6</v>
      </c>
      <c r="I5" t="s">
        <v>6</v>
      </c>
    </row>
    <row r="6" spans="1:17" x14ac:dyDescent="0.25">
      <c r="A6" t="s">
        <v>33</v>
      </c>
      <c r="D6">
        <v>9990400.7607108932</v>
      </c>
      <c r="E6">
        <v>9990367.4844549745</v>
      </c>
      <c r="G6" s="2">
        <f>E6-D6</f>
        <v>-33.27625591866672</v>
      </c>
      <c r="I6">
        <v>-33.27625591866672</v>
      </c>
      <c r="K6" t="s">
        <v>51</v>
      </c>
      <c r="L6">
        <v>-33.27625591866672</v>
      </c>
      <c r="M6">
        <v>0.99184448085725307</v>
      </c>
      <c r="N6">
        <v>-62.702556859701872</v>
      </c>
      <c r="O6">
        <v>-29.632321301847696</v>
      </c>
      <c r="P6">
        <v>-330.25276817940176</v>
      </c>
      <c r="Q6">
        <v>-361.89587587676942</v>
      </c>
    </row>
    <row r="7" spans="1:17" x14ac:dyDescent="0.25">
      <c r="A7" t="s">
        <v>34</v>
      </c>
      <c r="D7">
        <v>9990363.75797203</v>
      </c>
      <c r="E7">
        <v>9990364.7498165108</v>
      </c>
      <c r="G7" s="2">
        <f t="shared" ref="G7:G25" si="0">E7-D7</f>
        <v>0.99184448085725307</v>
      </c>
      <c r="I7">
        <v>0.99184448085725307</v>
      </c>
      <c r="K7" t="s">
        <v>52</v>
      </c>
      <c r="L7">
        <v>-130.35548708029091</v>
      </c>
      <c r="M7">
        <v>-125.61938206851482</v>
      </c>
      <c r="N7">
        <v>-384.58047823049128</v>
      </c>
      <c r="O7">
        <v>-360.90402127616107</v>
      </c>
      <c r="P7">
        <v>-18.805574350059032</v>
      </c>
      <c r="Q7">
        <v>-92.894968697801232</v>
      </c>
    </row>
    <row r="8" spans="1:17" x14ac:dyDescent="0.25">
      <c r="A8" t="s">
        <v>35</v>
      </c>
      <c r="D8">
        <v>9994082.3539779056</v>
      </c>
      <c r="E8">
        <v>9994019.6514210459</v>
      </c>
      <c r="G8" s="2">
        <f t="shared" si="0"/>
        <v>-62.702556859701872</v>
      </c>
      <c r="I8">
        <v>-62.702556859701872</v>
      </c>
      <c r="K8" t="s">
        <v>53</v>
      </c>
      <c r="L8">
        <v>-14.163006063550711</v>
      </c>
      <c r="M8">
        <v>-118.2856526914984</v>
      </c>
      <c r="N8">
        <v>13.45235707052052</v>
      </c>
      <c r="O8">
        <v>-43.789392333477736</v>
      </c>
      <c r="P8">
        <v>5.7473097313195467</v>
      </c>
      <c r="Q8">
        <v>-30.529214015230536</v>
      </c>
    </row>
    <row r="9" spans="1:17" x14ac:dyDescent="0.25">
      <c r="A9" t="s">
        <v>36</v>
      </c>
      <c r="D9">
        <v>9994030.0283422451</v>
      </c>
      <c r="E9">
        <v>9994000.3960209433</v>
      </c>
      <c r="G9" s="2">
        <f t="shared" si="0"/>
        <v>-29.632321301847696</v>
      </c>
      <c r="I9">
        <v>-29.632321301847696</v>
      </c>
    </row>
    <row r="10" spans="1:17" x14ac:dyDescent="0.25">
      <c r="A10" t="s">
        <v>37</v>
      </c>
      <c r="D10">
        <v>9984348.773737872</v>
      </c>
      <c r="E10">
        <v>9984018.5209696926</v>
      </c>
      <c r="G10" s="2">
        <f t="shared" si="0"/>
        <v>-330.25276817940176</v>
      </c>
      <c r="I10">
        <v>-330.25276817940176</v>
      </c>
    </row>
    <row r="11" spans="1:17" x14ac:dyDescent="0.25">
      <c r="A11" t="s">
        <v>38</v>
      </c>
      <c r="D11">
        <v>9984346.857230043</v>
      </c>
      <c r="E11">
        <v>9983984.9613541663</v>
      </c>
      <c r="G11" s="2">
        <f t="shared" si="0"/>
        <v>-361.89587587676942</v>
      </c>
      <c r="I11">
        <v>-361.89587587676942</v>
      </c>
    </row>
    <row r="12" spans="1:17" x14ac:dyDescent="0.25">
      <c r="G12" s="2"/>
    </row>
    <row r="13" spans="1:17" x14ac:dyDescent="0.25">
      <c r="A13" t="s">
        <v>39</v>
      </c>
      <c r="D13">
        <v>9994081.2652093023</v>
      </c>
      <c r="E13">
        <v>9993950.909722222</v>
      </c>
      <c r="G13" s="2">
        <f t="shared" si="0"/>
        <v>-130.35548708029091</v>
      </c>
      <c r="I13">
        <v>-130.35548708029091</v>
      </c>
    </row>
    <row r="14" spans="1:17" x14ac:dyDescent="0.25">
      <c r="A14" t="s">
        <v>40</v>
      </c>
      <c r="D14">
        <v>9994078.2852406446</v>
      </c>
      <c r="E14">
        <v>9993952.6658585761</v>
      </c>
      <c r="G14" s="2">
        <f t="shared" si="0"/>
        <v>-125.61938206851482</v>
      </c>
      <c r="I14">
        <v>-125.61938206851482</v>
      </c>
    </row>
    <row r="15" spans="1:17" x14ac:dyDescent="0.25">
      <c r="A15" t="s">
        <v>41</v>
      </c>
      <c r="D15">
        <v>9992654.1714832522</v>
      </c>
      <c r="E15">
        <v>9992269.5910050217</v>
      </c>
      <c r="G15" s="2">
        <f t="shared" si="0"/>
        <v>-384.58047823049128</v>
      </c>
      <c r="I15">
        <v>-384.58047823049128</v>
      </c>
    </row>
    <row r="16" spans="1:17" x14ac:dyDescent="0.25">
      <c r="A16" t="s">
        <v>42</v>
      </c>
      <c r="D16">
        <v>9992632.9817616586</v>
      </c>
      <c r="E16">
        <v>9992272.0777403824</v>
      </c>
      <c r="G16" s="2">
        <f t="shared" si="0"/>
        <v>-360.90402127616107</v>
      </c>
      <c r="I16">
        <v>-360.90402127616107</v>
      </c>
    </row>
    <row r="17" spans="1:9" x14ac:dyDescent="0.25">
      <c r="A17" t="s">
        <v>43</v>
      </c>
      <c r="D17">
        <v>9982003.4943367336</v>
      </c>
      <c r="E17">
        <v>9981984.6887623835</v>
      </c>
      <c r="G17" s="2">
        <f t="shared" si="0"/>
        <v>-18.805574350059032</v>
      </c>
      <c r="I17">
        <v>-18.805574350059032</v>
      </c>
    </row>
    <row r="18" spans="1:9" x14ac:dyDescent="0.25">
      <c r="A18" t="s">
        <v>44</v>
      </c>
      <c r="D18">
        <v>9982072.5967821814</v>
      </c>
      <c r="E18">
        <v>9981979.7018134836</v>
      </c>
      <c r="G18" s="2">
        <f t="shared" si="0"/>
        <v>-92.894968697801232</v>
      </c>
      <c r="I18">
        <v>-92.894968697801232</v>
      </c>
    </row>
    <row r="19" spans="1:9" x14ac:dyDescent="0.25">
      <c r="G19" s="2"/>
    </row>
    <row r="20" spans="1:9" x14ac:dyDescent="0.25">
      <c r="A20" t="s">
        <v>45</v>
      </c>
      <c r="D20">
        <v>9987325.2379126139</v>
      </c>
      <c r="E20">
        <v>9987311.0749065503</v>
      </c>
      <c r="G20" s="2">
        <f t="shared" si="0"/>
        <v>-14.163006063550711</v>
      </c>
      <c r="I20">
        <v>-14.163006063550711</v>
      </c>
    </row>
    <row r="21" spans="1:9" x14ac:dyDescent="0.25">
      <c r="A21" t="s">
        <v>46</v>
      </c>
      <c r="D21">
        <v>9987382.1030769274</v>
      </c>
      <c r="E21">
        <v>9987263.8174242359</v>
      </c>
      <c r="G21" s="2">
        <f t="shared" si="0"/>
        <v>-118.2856526914984</v>
      </c>
      <c r="I21">
        <v>-118.2856526914984</v>
      </c>
    </row>
    <row r="22" spans="1:9" x14ac:dyDescent="0.25">
      <c r="A22" t="s">
        <v>47</v>
      </c>
      <c r="D22">
        <v>9975984.2195588257</v>
      </c>
      <c r="E22">
        <v>9975997.6719158962</v>
      </c>
      <c r="G22" s="2">
        <f t="shared" si="0"/>
        <v>13.45235707052052</v>
      </c>
      <c r="I22">
        <v>13.45235707052052</v>
      </c>
    </row>
    <row r="23" spans="1:9" x14ac:dyDescent="0.25">
      <c r="A23" t="s">
        <v>48</v>
      </c>
      <c r="D23">
        <v>9975990.3310824707</v>
      </c>
      <c r="E23">
        <v>9975946.5416901372</v>
      </c>
      <c r="G23" s="2">
        <f t="shared" si="0"/>
        <v>-43.789392333477736</v>
      </c>
      <c r="I23">
        <v>-43.789392333477736</v>
      </c>
    </row>
    <row r="24" spans="1:9" x14ac:dyDescent="0.25">
      <c r="A24" t="s">
        <v>49</v>
      </c>
      <c r="D24">
        <v>9984162.4747115411</v>
      </c>
      <c r="E24">
        <v>9984168.2220212724</v>
      </c>
      <c r="G24" s="2">
        <f t="shared" si="0"/>
        <v>5.7473097313195467</v>
      </c>
      <c r="I24">
        <v>5.7473097313195467</v>
      </c>
    </row>
    <row r="25" spans="1:9" x14ac:dyDescent="0.25">
      <c r="A25" t="s">
        <v>50</v>
      </c>
      <c r="D25">
        <v>9984158.6611640174</v>
      </c>
      <c r="E25">
        <v>9984128.1319500022</v>
      </c>
      <c r="G25" s="2">
        <f t="shared" si="0"/>
        <v>-30.529214015230536</v>
      </c>
      <c r="I25">
        <v>-30.529214015230536</v>
      </c>
    </row>
    <row r="26" spans="1:9" x14ac:dyDescent="0.25">
      <c r="G26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04F7-90AF-48DF-AA97-CE6B202D4624}">
  <dimension ref="A1:V30"/>
  <sheetViews>
    <sheetView zoomScale="85" zoomScaleNormal="85" workbookViewId="0">
      <selection activeCell="Q23" sqref="Q23"/>
    </sheetView>
  </sheetViews>
  <sheetFormatPr defaultColWidth="12.69921875" defaultRowHeight="13.8" x14ac:dyDescent="0.25"/>
  <cols>
    <col min="3" max="3" width="5.59765625" customWidth="1"/>
    <col min="4" max="6" width="15.796875" customWidth="1"/>
    <col min="7" max="7" width="5.796875" customWidth="1"/>
    <col min="10" max="10" width="5.3984375" customWidth="1"/>
    <col min="13" max="13" width="5.296875" customWidth="1"/>
  </cols>
  <sheetData>
    <row r="1" spans="1:22" x14ac:dyDescent="0.25">
      <c r="A1" t="s">
        <v>4</v>
      </c>
    </row>
    <row r="2" spans="1:22" x14ac:dyDescent="0.25">
      <c r="A2" t="s">
        <v>23</v>
      </c>
    </row>
    <row r="5" spans="1:22" x14ac:dyDescent="0.25">
      <c r="D5" t="s">
        <v>0</v>
      </c>
      <c r="E5" t="s">
        <v>1</v>
      </c>
      <c r="F5" t="s">
        <v>5</v>
      </c>
      <c r="H5" t="s">
        <v>6</v>
      </c>
      <c r="I5" t="s">
        <v>59</v>
      </c>
      <c r="K5" t="s">
        <v>6</v>
      </c>
      <c r="L5" t="s">
        <v>59</v>
      </c>
    </row>
    <row r="6" spans="1:22" x14ac:dyDescent="0.25">
      <c r="A6" t="s">
        <v>76</v>
      </c>
      <c r="D6">
        <v>9977676.1412690394</v>
      </c>
      <c r="E6">
        <v>9977696.3450000156</v>
      </c>
      <c r="F6">
        <v>9977685.5052912552</v>
      </c>
      <c r="H6">
        <f t="shared" ref="H6:H7" si="0">E6-D6</f>
        <v>20.203730976209044</v>
      </c>
      <c r="I6">
        <f t="shared" ref="I6:I7" si="1">F6-E6</f>
        <v>-10.839708760380745</v>
      </c>
      <c r="K6">
        <v>20.203730976209044</v>
      </c>
      <c r="L6">
        <v>-10.839708760380745</v>
      </c>
      <c r="N6" t="s">
        <v>54</v>
      </c>
      <c r="O6">
        <v>20.203730976209044</v>
      </c>
      <c r="P6">
        <v>24.393009703606367</v>
      </c>
      <c r="S6">
        <v>-10.839708760380745</v>
      </c>
      <c r="T6">
        <v>9.3869417645037174</v>
      </c>
    </row>
    <row r="7" spans="1:22" x14ac:dyDescent="0.25">
      <c r="A7" t="s">
        <v>77</v>
      </c>
      <c r="D7">
        <v>9977674.7980582528</v>
      </c>
      <c r="E7">
        <v>9977699.1910679564</v>
      </c>
      <c r="F7">
        <v>9977708.5780097209</v>
      </c>
      <c r="H7">
        <f t="shared" si="0"/>
        <v>24.393009703606367</v>
      </c>
      <c r="I7">
        <f t="shared" si="1"/>
        <v>9.3869417645037174</v>
      </c>
      <c r="K7">
        <v>24.393009703606367</v>
      </c>
      <c r="L7">
        <v>9.3869417645037174</v>
      </c>
      <c r="N7" t="s">
        <v>80</v>
      </c>
      <c r="O7">
        <v>-45.124854369089007</v>
      </c>
      <c r="P7">
        <v>-54.606889864429832</v>
      </c>
      <c r="S7">
        <v>-58.080096617341042</v>
      </c>
      <c r="T7">
        <v>-20.106938438490033</v>
      </c>
    </row>
    <row r="8" spans="1:22" x14ac:dyDescent="0.25">
      <c r="N8" t="s">
        <v>81</v>
      </c>
      <c r="O8">
        <v>-58.443181147798896</v>
      </c>
      <c r="P8">
        <v>17.033739168196917</v>
      </c>
      <c r="Q8">
        <v>-19.009189447388053</v>
      </c>
      <c r="R8">
        <v>-25.178112080320716</v>
      </c>
      <c r="S8">
        <v>-86.244655203074217</v>
      </c>
      <c r="T8">
        <v>27.169061033055186</v>
      </c>
      <c r="U8">
        <v>-10.032739015296102</v>
      </c>
      <c r="V8">
        <v>-43.40071208961308</v>
      </c>
    </row>
    <row r="9" spans="1:22" x14ac:dyDescent="0.25">
      <c r="A9" t="s">
        <v>78</v>
      </c>
      <c r="H9">
        <f t="shared" ref="H9:H15" si="2">E9-D9</f>
        <v>0</v>
      </c>
      <c r="I9">
        <f t="shared" ref="I9:I15" si="3">F9-E9</f>
        <v>0</v>
      </c>
      <c r="K9">
        <v>0</v>
      </c>
      <c r="L9">
        <v>0</v>
      </c>
      <c r="N9" t="s">
        <v>55</v>
      </c>
      <c r="O9">
        <v>-70.508201571181417</v>
      </c>
      <c r="P9">
        <v>-44.582162719219923</v>
      </c>
      <c r="Q9">
        <v>-34.750229740515351</v>
      </c>
      <c r="R9">
        <v>-64.506507236510515</v>
      </c>
      <c r="S9">
        <v>-37.024413272738457</v>
      </c>
      <c r="T9">
        <v>-66.35278508067131</v>
      </c>
      <c r="U9">
        <v>-100.30372842215002</v>
      </c>
      <c r="V9">
        <v>-45.701266378164291</v>
      </c>
    </row>
    <row r="10" spans="1:22" x14ac:dyDescent="0.25">
      <c r="A10" t="s">
        <v>79</v>
      </c>
      <c r="H10">
        <f t="shared" si="2"/>
        <v>0</v>
      </c>
      <c r="I10">
        <f t="shared" si="3"/>
        <v>0</v>
      </c>
      <c r="K10">
        <v>0</v>
      </c>
      <c r="L10">
        <v>0</v>
      </c>
      <c r="N10" t="s">
        <v>56</v>
      </c>
      <c r="O10">
        <v>-319.19342385046184</v>
      </c>
      <c r="P10">
        <v>-336.92233716696501</v>
      </c>
      <c r="Q10">
        <v>-44.316648287698627</v>
      </c>
      <c r="R10">
        <v>1.8462089840322733</v>
      </c>
      <c r="S10">
        <v>64.320886699482799</v>
      </c>
      <c r="T10">
        <v>102.42786952853203</v>
      </c>
      <c r="U10">
        <v>64.982066199183464</v>
      </c>
      <c r="V10">
        <v>22.228238634765148</v>
      </c>
    </row>
    <row r="12" spans="1:22" x14ac:dyDescent="0.25">
      <c r="A12" t="s">
        <v>72</v>
      </c>
      <c r="D12">
        <v>9992771.8648543693</v>
      </c>
      <c r="E12">
        <v>9992726.7400000002</v>
      </c>
      <c r="F12">
        <v>9992668.6599033829</v>
      </c>
      <c r="H12">
        <f t="shared" si="2"/>
        <v>-45.124854369089007</v>
      </c>
      <c r="I12">
        <f t="shared" si="3"/>
        <v>-58.080096617341042</v>
      </c>
      <c r="K12">
        <v>-45.124854369089007</v>
      </c>
      <c r="L12">
        <v>-58.080096617341042</v>
      </c>
    </row>
    <row r="13" spans="1:22" x14ac:dyDescent="0.25">
      <c r="A13" t="s">
        <v>73</v>
      </c>
      <c r="D13">
        <v>9992755.4239790607</v>
      </c>
      <c r="E13">
        <v>9992700.8170891963</v>
      </c>
      <c r="F13">
        <v>9992680.7101507578</v>
      </c>
      <c r="H13">
        <f t="shared" si="2"/>
        <v>-54.606889864429832</v>
      </c>
      <c r="I13">
        <f t="shared" si="3"/>
        <v>-20.106938438490033</v>
      </c>
      <c r="K13">
        <v>-54.606889864429832</v>
      </c>
      <c r="L13">
        <v>-20.106938438490033</v>
      </c>
    </row>
    <row r="14" spans="1:22" x14ac:dyDescent="0.25">
      <c r="A14" t="s">
        <v>74</v>
      </c>
      <c r="H14">
        <f t="shared" si="2"/>
        <v>0</v>
      </c>
      <c r="I14">
        <f t="shared" si="3"/>
        <v>0</v>
      </c>
      <c r="K14">
        <v>0</v>
      </c>
      <c r="L14">
        <v>0</v>
      </c>
    </row>
    <row r="15" spans="1:22" x14ac:dyDescent="0.25">
      <c r="A15" t="s">
        <v>75</v>
      </c>
      <c r="H15">
        <f t="shared" si="2"/>
        <v>0</v>
      </c>
      <c r="I15">
        <f t="shared" si="3"/>
        <v>0</v>
      </c>
      <c r="K15">
        <v>0</v>
      </c>
      <c r="L15">
        <v>0</v>
      </c>
    </row>
    <row r="17" spans="1:12" x14ac:dyDescent="0.25">
      <c r="A17" t="s">
        <v>60</v>
      </c>
      <c r="D17">
        <v>10002938.512758616</v>
      </c>
      <c r="E17">
        <v>10002880.069577469</v>
      </c>
      <c r="F17">
        <v>10002793.824922265</v>
      </c>
      <c r="H17">
        <f>E17-D17</f>
        <v>-58.443181147798896</v>
      </c>
      <c r="I17">
        <f>F17-E17</f>
        <v>-86.244655203074217</v>
      </c>
      <c r="K17">
        <v>-58.443181147798896</v>
      </c>
      <c r="L17">
        <v>-86.244655203074217</v>
      </c>
    </row>
    <row r="18" spans="1:12" x14ac:dyDescent="0.25">
      <c r="A18" t="s">
        <v>61</v>
      </c>
      <c r="D18">
        <v>10002914.206777263</v>
      </c>
      <c r="E18">
        <v>10002931.240516432</v>
      </c>
      <c r="F18">
        <v>10002958.409577465</v>
      </c>
      <c r="H18">
        <f>E18-D18</f>
        <v>17.033739168196917</v>
      </c>
      <c r="I18">
        <f>F18-E18</f>
        <v>27.169061033055186</v>
      </c>
      <c r="K18">
        <v>17.033739168196917</v>
      </c>
      <c r="L18">
        <v>27.169061033055186</v>
      </c>
    </row>
    <row r="19" spans="1:12" x14ac:dyDescent="0.25">
      <c r="A19" t="s">
        <v>62</v>
      </c>
      <c r="D19">
        <v>9989543.3638315778</v>
      </c>
      <c r="E19">
        <v>9989524.3546421304</v>
      </c>
      <c r="F19">
        <v>9989514.3219031151</v>
      </c>
      <c r="H19">
        <f t="shared" ref="H19:H20" si="4">E19-D19</f>
        <v>-19.009189447388053</v>
      </c>
      <c r="I19">
        <f t="shared" ref="I19:I20" si="5">F19-E19</f>
        <v>-10.032739015296102</v>
      </c>
      <c r="K19">
        <v>-19.009189447388053</v>
      </c>
      <c r="L19">
        <v>-10.032739015296102</v>
      </c>
    </row>
    <row r="20" spans="1:12" x14ac:dyDescent="0.25">
      <c r="A20" t="s">
        <v>63</v>
      </c>
      <c r="D20">
        <v>9989587.6912720837</v>
      </c>
      <c r="E20">
        <v>9989562.5131600033</v>
      </c>
      <c r="F20">
        <v>9989519.1124479137</v>
      </c>
      <c r="H20">
        <f t="shared" si="4"/>
        <v>-25.178112080320716</v>
      </c>
      <c r="I20">
        <f t="shared" si="5"/>
        <v>-43.40071208961308</v>
      </c>
      <c r="K20">
        <v>-25.178112080320716</v>
      </c>
      <c r="L20">
        <v>-43.40071208961308</v>
      </c>
    </row>
    <row r="22" spans="1:12" x14ac:dyDescent="0.25">
      <c r="A22" t="s">
        <v>65</v>
      </c>
      <c r="D22">
        <v>9972572.7319696844</v>
      </c>
      <c r="E22">
        <v>9972502.2237681132</v>
      </c>
      <c r="F22">
        <v>9972465.1993548404</v>
      </c>
      <c r="H22">
        <f t="shared" ref="H22:H30" si="6">E22-D22</f>
        <v>-70.508201571181417</v>
      </c>
      <c r="I22">
        <f t="shared" ref="I22:I30" si="7">F22-E22</f>
        <v>-37.024413272738457</v>
      </c>
      <c r="K22">
        <v>-70.508201571181417</v>
      </c>
      <c r="L22">
        <v>-37.024413272738457</v>
      </c>
    </row>
    <row r="23" spans="1:12" x14ac:dyDescent="0.25">
      <c r="A23" t="s">
        <v>64</v>
      </c>
      <c r="D23">
        <v>9972552.4285648242</v>
      </c>
      <c r="E23">
        <v>9972507.8464021049</v>
      </c>
      <c r="F23">
        <v>9972441.4936170243</v>
      </c>
      <c r="H23">
        <f t="shared" si="6"/>
        <v>-44.582162719219923</v>
      </c>
      <c r="I23">
        <f t="shared" si="7"/>
        <v>-66.35278508067131</v>
      </c>
      <c r="K23">
        <v>-44.582162719219923</v>
      </c>
      <c r="L23">
        <v>-66.35278508067131</v>
      </c>
    </row>
    <row r="24" spans="1:12" x14ac:dyDescent="0.25">
      <c r="A24" t="s">
        <v>66</v>
      </c>
      <c r="D24">
        <v>9984707.4490102436</v>
      </c>
      <c r="E24">
        <v>9984672.6987805031</v>
      </c>
      <c r="F24">
        <v>9984572.395052081</v>
      </c>
      <c r="H24">
        <f t="shared" si="6"/>
        <v>-34.750229740515351</v>
      </c>
      <c r="I24">
        <f t="shared" si="7"/>
        <v>-100.30372842215002</v>
      </c>
      <c r="K24">
        <v>-34.750229740515351</v>
      </c>
      <c r="L24">
        <v>-100.30372842215002</v>
      </c>
    </row>
    <row r="25" spans="1:12" x14ac:dyDescent="0.25">
      <c r="A25" t="s">
        <v>67</v>
      </c>
      <c r="D25">
        <v>9984713.7584507037</v>
      </c>
      <c r="E25">
        <v>9984649.2519434672</v>
      </c>
      <c r="F25">
        <v>9984603.550677089</v>
      </c>
      <c r="H25">
        <f t="shared" si="6"/>
        <v>-64.506507236510515</v>
      </c>
      <c r="I25">
        <f t="shared" si="7"/>
        <v>-45.701266378164291</v>
      </c>
      <c r="K25">
        <v>-64.506507236510515</v>
      </c>
      <c r="L25">
        <v>-45.701266378164291</v>
      </c>
    </row>
    <row r="27" spans="1:12" x14ac:dyDescent="0.25">
      <c r="A27" t="s">
        <v>68</v>
      </c>
      <c r="D27">
        <v>9993168.7593625486</v>
      </c>
      <c r="E27">
        <v>9992849.5659386981</v>
      </c>
      <c r="F27">
        <v>9992913.8868253976</v>
      </c>
      <c r="H27">
        <f t="shared" si="6"/>
        <v>-319.19342385046184</v>
      </c>
      <c r="I27">
        <f t="shared" si="7"/>
        <v>64.320886699482799</v>
      </c>
      <c r="K27">
        <v>-319.19342385046184</v>
      </c>
      <c r="L27">
        <v>64.320886699482799</v>
      </c>
    </row>
    <row r="28" spans="1:12" x14ac:dyDescent="0.25">
      <c r="A28" t="s">
        <v>69</v>
      </c>
      <c r="D28">
        <v>9993159.673678169</v>
      </c>
      <c r="E28">
        <v>9992822.7513410021</v>
      </c>
      <c r="F28">
        <v>9992925.1792105306</v>
      </c>
      <c r="H28">
        <f t="shared" si="6"/>
        <v>-336.92233716696501</v>
      </c>
      <c r="I28">
        <f t="shared" si="7"/>
        <v>102.42786952853203</v>
      </c>
      <c r="K28">
        <v>-336.92233716696501</v>
      </c>
      <c r="L28">
        <v>102.42786952853203</v>
      </c>
    </row>
    <row r="29" spans="1:12" x14ac:dyDescent="0.25">
      <c r="A29" t="s">
        <v>70</v>
      </c>
      <c r="D29">
        <v>9997373.9248929638</v>
      </c>
      <c r="E29">
        <v>9997329.6082446761</v>
      </c>
      <c r="F29">
        <v>9997394.5903108753</v>
      </c>
      <c r="H29">
        <f t="shared" si="6"/>
        <v>-44.316648287698627</v>
      </c>
      <c r="I29">
        <f t="shared" si="7"/>
        <v>64.982066199183464</v>
      </c>
      <c r="K29">
        <v>-44.316648287698627</v>
      </c>
      <c r="L29">
        <v>64.982066199183464</v>
      </c>
    </row>
    <row r="30" spans="1:12" x14ac:dyDescent="0.25">
      <c r="A30" t="s">
        <v>71</v>
      </c>
      <c r="D30">
        <v>9997370.8661773819</v>
      </c>
      <c r="E30">
        <v>9997372.712386366</v>
      </c>
      <c r="F30">
        <v>9997394.9406250007</v>
      </c>
      <c r="H30">
        <f t="shared" si="6"/>
        <v>1.8462089840322733</v>
      </c>
      <c r="I30">
        <f t="shared" si="7"/>
        <v>22.228238634765148</v>
      </c>
      <c r="K30">
        <v>1.8462089840322733</v>
      </c>
      <c r="L30">
        <v>22.228238634765148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C0DF-8A3D-4D52-AC9A-3E5B3F381543}">
  <dimension ref="A2:K58"/>
  <sheetViews>
    <sheetView zoomScale="85" zoomScaleNormal="85" workbookViewId="0">
      <selection activeCell="A2" sqref="A2:A58"/>
    </sheetView>
  </sheetViews>
  <sheetFormatPr defaultRowHeight="13.8" x14ac:dyDescent="0.25"/>
  <cols>
    <col min="10" max="10" width="10.19921875" customWidth="1"/>
  </cols>
  <sheetData>
    <row r="2" spans="1:11" x14ac:dyDescent="0.25">
      <c r="A2">
        <v>15.582322381436825</v>
      </c>
      <c r="C2">
        <v>1</v>
      </c>
    </row>
    <row r="3" spans="1:11" x14ac:dyDescent="0.25">
      <c r="A3">
        <v>8.9860213790088892</v>
      </c>
      <c r="C3">
        <v>2</v>
      </c>
      <c r="J3" t="s">
        <v>82</v>
      </c>
      <c r="K3">
        <v>57</v>
      </c>
    </row>
    <row r="4" spans="1:11" x14ac:dyDescent="0.25">
      <c r="A4">
        <v>7.2432940807193518</v>
      </c>
      <c r="C4">
        <v>3</v>
      </c>
      <c r="J4" t="s">
        <v>83</v>
      </c>
      <c r="K4">
        <v>40</v>
      </c>
    </row>
    <row r="5" spans="1:11" x14ac:dyDescent="0.25">
      <c r="A5">
        <v>8.6966116949915886</v>
      </c>
      <c r="C5">
        <v>4</v>
      </c>
      <c r="J5" s="3" t="s">
        <v>84</v>
      </c>
      <c r="K5" s="3">
        <f>K4*100/K3</f>
        <v>70.175438596491233</v>
      </c>
    </row>
    <row r="6" spans="1:11" x14ac:dyDescent="0.25">
      <c r="A6">
        <v>-12.967196995392442</v>
      </c>
      <c r="C6">
        <v>5</v>
      </c>
    </row>
    <row r="7" spans="1:11" x14ac:dyDescent="0.25">
      <c r="A7">
        <v>-30.230052884668112</v>
      </c>
      <c r="C7">
        <v>6</v>
      </c>
    </row>
    <row r="8" spans="1:11" x14ac:dyDescent="0.25">
      <c r="A8">
        <v>-32.085961055010557</v>
      </c>
      <c r="C8">
        <v>7</v>
      </c>
    </row>
    <row r="9" spans="1:11" x14ac:dyDescent="0.25">
      <c r="A9">
        <v>-50.631972327828407</v>
      </c>
      <c r="C9">
        <v>8</v>
      </c>
    </row>
    <row r="10" spans="1:11" x14ac:dyDescent="0.25">
      <c r="A10">
        <v>-106.16166539676487</v>
      </c>
      <c r="C10">
        <v>9</v>
      </c>
    </row>
    <row r="11" spans="1:11" x14ac:dyDescent="0.25">
      <c r="A11">
        <v>-10.125541990622878</v>
      </c>
      <c r="C11">
        <v>10</v>
      </c>
    </row>
    <row r="12" spans="1:11" x14ac:dyDescent="0.25">
      <c r="A12">
        <v>-34.653898620977998</v>
      </c>
      <c r="C12">
        <v>11</v>
      </c>
    </row>
    <row r="13" spans="1:11" x14ac:dyDescent="0.25">
      <c r="A13">
        <v>-95.50781144015491</v>
      </c>
      <c r="C13">
        <v>12</v>
      </c>
    </row>
    <row r="14" spans="1:11" x14ac:dyDescent="0.25">
      <c r="A14">
        <v>-42.934753093868494</v>
      </c>
      <c r="C14">
        <v>13</v>
      </c>
    </row>
    <row r="15" spans="1:11" x14ac:dyDescent="0.25">
      <c r="A15">
        <v>-11.885040646418929</v>
      </c>
      <c r="C15">
        <v>14</v>
      </c>
    </row>
    <row r="16" spans="1:11" x14ac:dyDescent="0.25">
      <c r="A16">
        <v>-77.775928396731615</v>
      </c>
      <c r="C16">
        <v>15</v>
      </c>
    </row>
    <row r="17" spans="1:3" x14ac:dyDescent="0.25">
      <c r="A17">
        <v>-140.04428234882653</v>
      </c>
      <c r="C17">
        <v>16</v>
      </c>
    </row>
    <row r="18" spans="1:3" x14ac:dyDescent="0.25">
      <c r="A18">
        <v>62.608407964929938</v>
      </c>
      <c r="C18">
        <v>17</v>
      </c>
    </row>
    <row r="19" spans="1:3" x14ac:dyDescent="0.25">
      <c r="A19">
        <v>-10.2950310241431</v>
      </c>
      <c r="C19">
        <v>18</v>
      </c>
    </row>
    <row r="20" spans="1:3" x14ac:dyDescent="0.25">
      <c r="A20">
        <v>21.995312502607703</v>
      </c>
      <c r="C20">
        <v>19</v>
      </c>
    </row>
    <row r="21" spans="1:3" x14ac:dyDescent="0.25">
      <c r="A21">
        <v>105.87923610769212</v>
      </c>
      <c r="C21">
        <v>20</v>
      </c>
    </row>
    <row r="22" spans="1:3" x14ac:dyDescent="0.25">
      <c r="A22">
        <v>32.883554916828871</v>
      </c>
      <c r="C22">
        <v>21</v>
      </c>
    </row>
    <row r="23" spans="1:3" x14ac:dyDescent="0.25">
      <c r="A23">
        <v>5.9041742794215679</v>
      </c>
      <c r="C23">
        <v>22</v>
      </c>
    </row>
    <row r="24" spans="1:3" x14ac:dyDescent="0.25">
      <c r="A24">
        <v>0.56046426296234131</v>
      </c>
      <c r="C24">
        <v>23</v>
      </c>
    </row>
    <row r="25" spans="1:3" x14ac:dyDescent="0.25">
      <c r="A25">
        <v>-33.27625591866672</v>
      </c>
      <c r="C25">
        <v>24</v>
      </c>
    </row>
    <row r="26" spans="1:3" x14ac:dyDescent="0.25">
      <c r="A26">
        <v>0.99184448085725307</v>
      </c>
      <c r="C26">
        <v>25</v>
      </c>
    </row>
    <row r="27" spans="1:3" x14ac:dyDescent="0.25">
      <c r="A27">
        <v>-62.702556859701872</v>
      </c>
      <c r="C27">
        <v>26</v>
      </c>
    </row>
    <row r="28" spans="1:3" x14ac:dyDescent="0.25">
      <c r="A28">
        <v>-29.632321301847696</v>
      </c>
      <c r="C28">
        <v>27</v>
      </c>
    </row>
    <row r="29" spans="1:3" x14ac:dyDescent="0.25">
      <c r="A29">
        <v>-330.25276817940176</v>
      </c>
      <c r="C29">
        <v>28</v>
      </c>
    </row>
    <row r="30" spans="1:3" x14ac:dyDescent="0.25">
      <c r="A30">
        <v>-361.89587587676942</v>
      </c>
      <c r="C30">
        <v>29</v>
      </c>
    </row>
    <row r="31" spans="1:3" x14ac:dyDescent="0.25">
      <c r="A31">
        <v>-130.35548708029091</v>
      </c>
      <c r="C31">
        <v>30</v>
      </c>
    </row>
    <row r="32" spans="1:3" x14ac:dyDescent="0.25">
      <c r="A32">
        <v>-125.61938206851482</v>
      </c>
      <c r="C32">
        <v>31</v>
      </c>
    </row>
    <row r="33" spans="1:3" x14ac:dyDescent="0.25">
      <c r="A33">
        <v>-384.58047823049128</v>
      </c>
      <c r="C33">
        <v>32</v>
      </c>
    </row>
    <row r="34" spans="1:3" x14ac:dyDescent="0.25">
      <c r="A34">
        <v>-360.90402127616107</v>
      </c>
      <c r="C34">
        <v>33</v>
      </c>
    </row>
    <row r="35" spans="1:3" x14ac:dyDescent="0.25">
      <c r="A35">
        <v>-18.805574350059032</v>
      </c>
      <c r="C35">
        <v>34</v>
      </c>
    </row>
    <row r="36" spans="1:3" x14ac:dyDescent="0.25">
      <c r="A36">
        <v>-92.894968697801232</v>
      </c>
      <c r="C36">
        <v>35</v>
      </c>
    </row>
    <row r="37" spans="1:3" x14ac:dyDescent="0.25">
      <c r="A37">
        <v>-14.163006063550711</v>
      </c>
      <c r="C37">
        <v>36</v>
      </c>
    </row>
    <row r="38" spans="1:3" x14ac:dyDescent="0.25">
      <c r="A38">
        <v>-118.2856526914984</v>
      </c>
      <c r="C38">
        <v>37</v>
      </c>
    </row>
    <row r="39" spans="1:3" x14ac:dyDescent="0.25">
      <c r="A39">
        <v>13.45235707052052</v>
      </c>
      <c r="C39">
        <v>38</v>
      </c>
    </row>
    <row r="40" spans="1:3" x14ac:dyDescent="0.25">
      <c r="A40">
        <v>-43.789392333477736</v>
      </c>
      <c r="C40">
        <v>39</v>
      </c>
    </row>
    <row r="41" spans="1:3" x14ac:dyDescent="0.25">
      <c r="A41">
        <v>5.7473097313195467</v>
      </c>
      <c r="C41">
        <v>40</v>
      </c>
    </row>
    <row r="42" spans="1:3" x14ac:dyDescent="0.25">
      <c r="A42">
        <v>-30.529214015230536</v>
      </c>
      <c r="C42">
        <v>41</v>
      </c>
    </row>
    <row r="43" spans="1:3" x14ac:dyDescent="0.25">
      <c r="A43">
        <v>20.203730976209044</v>
      </c>
      <c r="C43">
        <v>42</v>
      </c>
    </row>
    <row r="44" spans="1:3" x14ac:dyDescent="0.25">
      <c r="A44">
        <v>24.393009703606367</v>
      </c>
      <c r="C44">
        <v>43</v>
      </c>
    </row>
    <row r="45" spans="1:3" x14ac:dyDescent="0.25">
      <c r="A45">
        <v>-45.124854369089007</v>
      </c>
      <c r="C45">
        <v>44</v>
      </c>
    </row>
    <row r="46" spans="1:3" x14ac:dyDescent="0.25">
      <c r="A46">
        <v>-54.606889864429832</v>
      </c>
      <c r="C46">
        <v>45</v>
      </c>
    </row>
    <row r="47" spans="1:3" x14ac:dyDescent="0.25">
      <c r="A47">
        <v>-58.443181147798896</v>
      </c>
      <c r="C47">
        <v>46</v>
      </c>
    </row>
    <row r="48" spans="1:3" x14ac:dyDescent="0.25">
      <c r="A48">
        <v>17.033739168196917</v>
      </c>
      <c r="C48">
        <v>47</v>
      </c>
    </row>
    <row r="49" spans="1:3" x14ac:dyDescent="0.25">
      <c r="A49">
        <v>-19.009189447388053</v>
      </c>
      <c r="C49">
        <v>48</v>
      </c>
    </row>
    <row r="50" spans="1:3" x14ac:dyDescent="0.25">
      <c r="A50">
        <v>-25.178112080320716</v>
      </c>
      <c r="C50">
        <v>49</v>
      </c>
    </row>
    <row r="51" spans="1:3" x14ac:dyDescent="0.25">
      <c r="A51">
        <v>-70.508201571181417</v>
      </c>
      <c r="C51">
        <v>50</v>
      </c>
    </row>
    <row r="52" spans="1:3" x14ac:dyDescent="0.25">
      <c r="A52">
        <v>-44.582162719219923</v>
      </c>
      <c r="C52">
        <v>51</v>
      </c>
    </row>
    <row r="53" spans="1:3" x14ac:dyDescent="0.25">
      <c r="A53">
        <v>-34.750229740515351</v>
      </c>
      <c r="C53">
        <v>52</v>
      </c>
    </row>
    <row r="54" spans="1:3" x14ac:dyDescent="0.25">
      <c r="A54">
        <v>-64.506507236510515</v>
      </c>
      <c r="C54">
        <v>53</v>
      </c>
    </row>
    <row r="55" spans="1:3" x14ac:dyDescent="0.25">
      <c r="A55">
        <v>-319.19342385046184</v>
      </c>
      <c r="C55">
        <v>54</v>
      </c>
    </row>
    <row r="56" spans="1:3" x14ac:dyDescent="0.25">
      <c r="A56">
        <v>-336.92233716696501</v>
      </c>
      <c r="C56">
        <v>55</v>
      </c>
    </row>
    <row r="57" spans="1:3" x14ac:dyDescent="0.25">
      <c r="A57">
        <v>-44.316648287698627</v>
      </c>
      <c r="C57">
        <v>56</v>
      </c>
    </row>
    <row r="58" spans="1:3" x14ac:dyDescent="0.25">
      <c r="A58">
        <v>1.8462089840322733</v>
      </c>
      <c r="C58">
        <v>57</v>
      </c>
    </row>
  </sheetData>
  <conditionalFormatting sqref="A1:A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F167-2B17-425F-B8AE-00D1585FD66B}">
  <dimension ref="A3:U26"/>
  <sheetViews>
    <sheetView tabSelected="1" zoomScale="85" zoomScaleNormal="85" workbookViewId="0">
      <selection activeCell="T31" sqref="T31"/>
    </sheetView>
  </sheetViews>
  <sheetFormatPr defaultRowHeight="13.8" x14ac:dyDescent="0.25"/>
  <sheetData>
    <row r="3" spans="1:21" x14ac:dyDescent="0.25">
      <c r="A3" t="s">
        <v>22</v>
      </c>
      <c r="L3" s="3" t="s">
        <v>86</v>
      </c>
      <c r="M3" s="3" t="s">
        <v>87</v>
      </c>
      <c r="T3" s="3" t="s">
        <v>86</v>
      </c>
      <c r="U3" s="3" t="s">
        <v>87</v>
      </c>
    </row>
    <row r="4" spans="1:21" x14ac:dyDescent="0.25">
      <c r="A4" t="s">
        <v>54</v>
      </c>
      <c r="B4">
        <v>15.582322381436825</v>
      </c>
      <c r="C4">
        <v>8.9860213790088892</v>
      </c>
      <c r="D4">
        <v>7.2432940807193518</v>
      </c>
      <c r="L4">
        <f>AVERAGE(B4:J4)</f>
        <v>10.603879280388355</v>
      </c>
      <c r="M4">
        <f>STDEV(B4:J4)/SQRT(COUNT(B4:J4))</f>
        <v>2.5395502483598471</v>
      </c>
    </row>
    <row r="5" spans="1:21" x14ac:dyDescent="0.25">
      <c r="A5" t="s">
        <v>55</v>
      </c>
      <c r="B5">
        <v>8.6966116949915886</v>
      </c>
      <c r="C5">
        <v>-12.967196995392442</v>
      </c>
      <c r="D5">
        <v>-30.230052884668112</v>
      </c>
      <c r="L5">
        <f t="shared" ref="L5:L26" si="0">AVERAGE(B5:J5)</f>
        <v>-11.500212728356322</v>
      </c>
      <c r="M5">
        <f t="shared" ref="M5:M8" si="1">STDEV(B5:J5)/SQRT(COUNT(B5:J5))</f>
        <v>11.26107360118818</v>
      </c>
    </row>
    <row r="6" spans="1:21" x14ac:dyDescent="0.25">
      <c r="A6" t="s">
        <v>56</v>
      </c>
      <c r="B6">
        <v>-32.085961055010557</v>
      </c>
      <c r="C6">
        <v>-50.631972327828407</v>
      </c>
      <c r="D6">
        <v>-106.16166539676487</v>
      </c>
      <c r="L6">
        <f t="shared" si="0"/>
        <v>-62.959866259867944</v>
      </c>
      <c r="M6">
        <f t="shared" si="1"/>
        <v>22.254476853219622</v>
      </c>
    </row>
    <row r="7" spans="1:21" x14ac:dyDescent="0.25">
      <c r="A7" t="s">
        <v>57</v>
      </c>
      <c r="B7">
        <v>-10.125541990622878</v>
      </c>
      <c r="C7">
        <v>-34.653898620977998</v>
      </c>
      <c r="D7">
        <v>-95.50781144015491</v>
      </c>
      <c r="L7">
        <f t="shared" si="0"/>
        <v>-46.76241735058526</v>
      </c>
      <c r="M7">
        <f t="shared" si="1"/>
        <v>25.380406835832115</v>
      </c>
    </row>
    <row r="8" spans="1:21" x14ac:dyDescent="0.25">
      <c r="A8" t="s">
        <v>58</v>
      </c>
      <c r="B8">
        <v>-42.934753093868494</v>
      </c>
      <c r="C8">
        <v>-11.885040646418929</v>
      </c>
      <c r="D8">
        <v>-77.775928396731615</v>
      </c>
      <c r="L8">
        <f t="shared" si="0"/>
        <v>-44.198574045673013</v>
      </c>
      <c r="M8">
        <f t="shared" si="1"/>
        <v>19.031554540462022</v>
      </c>
    </row>
    <row r="12" spans="1:21" x14ac:dyDescent="0.25">
      <c r="A12" t="s">
        <v>85</v>
      </c>
    </row>
    <row r="13" spans="1:21" x14ac:dyDescent="0.25">
      <c r="A13" t="s">
        <v>23</v>
      </c>
    </row>
    <row r="14" spans="1:21" x14ac:dyDescent="0.25">
      <c r="A14" t="s">
        <v>51</v>
      </c>
      <c r="C14">
        <v>-140.04428234882653</v>
      </c>
      <c r="D14">
        <v>62.608407964929938</v>
      </c>
      <c r="E14">
        <v>-33.27625591866672</v>
      </c>
      <c r="F14">
        <v>0.99184448085725307</v>
      </c>
      <c r="G14">
        <v>-62.702556859701872</v>
      </c>
      <c r="H14">
        <v>-29.632321301847696</v>
      </c>
      <c r="I14">
        <v>-330.25276817940176</v>
      </c>
      <c r="J14">
        <v>-361.89587587676942</v>
      </c>
      <c r="L14">
        <f t="shared" si="0"/>
        <v>-111.77547600492835</v>
      </c>
      <c r="M14">
        <f>STDEV(B14:J14)/SQRT(COUNT(B14:J14))</f>
        <v>55.022016926045985</v>
      </c>
    </row>
    <row r="15" spans="1:21" x14ac:dyDescent="0.25">
      <c r="A15" t="s">
        <v>52</v>
      </c>
      <c r="B15">
        <v>-10.2950310241431</v>
      </c>
      <c r="C15">
        <v>21.995312502607703</v>
      </c>
      <c r="D15">
        <v>105.87923610769212</v>
      </c>
      <c r="E15">
        <v>-130.35548708029091</v>
      </c>
      <c r="F15">
        <v>-125.61938206851482</v>
      </c>
      <c r="G15">
        <v>-384.58047823049128</v>
      </c>
      <c r="H15">
        <v>-360.90402127616107</v>
      </c>
      <c r="I15">
        <v>-18.805574350059032</v>
      </c>
      <c r="J15">
        <v>-92.894968697801232</v>
      </c>
      <c r="L15">
        <f t="shared" si="0"/>
        <v>-110.62004379079573</v>
      </c>
      <c r="M15">
        <f t="shared" ref="M15:M16" si="2">STDEV(B15:J15)/SQRT(COUNT(B15:J15))</f>
        <v>55.475070863787217</v>
      </c>
    </row>
    <row r="16" spans="1:21" x14ac:dyDescent="0.25">
      <c r="A16" t="s">
        <v>53</v>
      </c>
      <c r="B16">
        <v>32.883554916828871</v>
      </c>
      <c r="C16">
        <v>5.9041742794215679</v>
      </c>
      <c r="D16">
        <v>0.56046426296234131</v>
      </c>
      <c r="E16">
        <v>-14.163006063550711</v>
      </c>
      <c r="F16">
        <v>-118.2856526914984</v>
      </c>
      <c r="G16">
        <v>13.45235707052052</v>
      </c>
      <c r="H16">
        <v>-43.789392333477736</v>
      </c>
      <c r="I16">
        <v>5.7473097313195467</v>
      </c>
      <c r="J16">
        <v>-30.529214015230536</v>
      </c>
      <c r="L16">
        <f t="shared" si="0"/>
        <v>-16.468822760300505</v>
      </c>
      <c r="M16">
        <f t="shared" si="2"/>
        <v>14.875002386891341</v>
      </c>
    </row>
    <row r="20" spans="1:21" x14ac:dyDescent="0.25">
      <c r="A20" t="s">
        <v>4</v>
      </c>
    </row>
    <row r="21" spans="1:21" x14ac:dyDescent="0.25">
      <c r="A21" t="s">
        <v>23</v>
      </c>
    </row>
    <row r="22" spans="1:21" x14ac:dyDescent="0.25">
      <c r="A22" t="s">
        <v>54</v>
      </c>
      <c r="B22">
        <v>20.203730976209044</v>
      </c>
      <c r="C22">
        <v>24.393009703606367</v>
      </c>
      <c r="L22">
        <f t="shared" si="0"/>
        <v>22.298370339907706</v>
      </c>
      <c r="M22">
        <f>STDEV(B22:J22)/SQRT(COUNT(B22:J22))</f>
        <v>2.0946393636986609</v>
      </c>
      <c r="O22">
        <v>-10.839708760380745</v>
      </c>
      <c r="P22">
        <v>9.3869417645037174</v>
      </c>
      <c r="T22">
        <f>AVERAGE(O22:R22)</f>
        <v>-0.72638349793851376</v>
      </c>
      <c r="U22">
        <f>STDEV(O22:R22)/SQRT(COUNT(O22:R22))</f>
        <v>10.113325262442231</v>
      </c>
    </row>
    <row r="23" spans="1:21" x14ac:dyDescent="0.25">
      <c r="A23" t="s">
        <v>80</v>
      </c>
      <c r="B23">
        <v>-45.124854369089007</v>
      </c>
      <c r="C23">
        <v>-54.606889864429832</v>
      </c>
      <c r="L23">
        <f t="shared" si="0"/>
        <v>-49.865872116759419</v>
      </c>
      <c r="M23">
        <f t="shared" ref="M23:M26" si="3">STDEV(B23:J23)/SQRT(COUNT(B23:J23))</f>
        <v>4.7410177476704112</v>
      </c>
      <c r="O23">
        <v>-58.080096617341042</v>
      </c>
      <c r="P23">
        <v>-20.106938438490033</v>
      </c>
      <c r="T23">
        <f t="shared" ref="T23:T26" si="4">AVERAGE(O23:R23)</f>
        <v>-39.093517527915537</v>
      </c>
      <c r="U23">
        <f t="shared" ref="U23:U26" si="5">STDEV(O23:R23)/SQRT(COUNT(O23:R23))</f>
        <v>18.986579089425504</v>
      </c>
    </row>
    <row r="24" spans="1:21" x14ac:dyDescent="0.25">
      <c r="A24" t="s">
        <v>81</v>
      </c>
      <c r="B24">
        <v>-58.443181147798896</v>
      </c>
      <c r="C24">
        <v>17.033739168196917</v>
      </c>
      <c r="D24">
        <v>-19.009189447388053</v>
      </c>
      <c r="E24">
        <v>-25.178112080320716</v>
      </c>
      <c r="L24">
        <f t="shared" si="0"/>
        <v>-21.399185876827687</v>
      </c>
      <c r="M24">
        <f t="shared" si="3"/>
        <v>15.463235106041029</v>
      </c>
      <c r="O24">
        <v>-86.244655203074217</v>
      </c>
      <c r="P24">
        <v>27.169061033055186</v>
      </c>
      <c r="Q24">
        <v>-10.032739015296102</v>
      </c>
      <c r="R24">
        <v>-43.40071208961308</v>
      </c>
      <c r="T24">
        <f t="shared" si="4"/>
        <v>-28.127261318732053</v>
      </c>
      <c r="U24">
        <f t="shared" si="5"/>
        <v>24.145401172515584</v>
      </c>
    </row>
    <row r="25" spans="1:21" x14ac:dyDescent="0.25">
      <c r="A25" t="s">
        <v>55</v>
      </c>
      <c r="B25">
        <v>-70.508201571181417</v>
      </c>
      <c r="C25">
        <v>-44.582162719219923</v>
      </c>
      <c r="D25">
        <v>-34.750229740515351</v>
      </c>
      <c r="E25">
        <v>-64.506507236510515</v>
      </c>
      <c r="L25">
        <f t="shared" si="0"/>
        <v>-53.586775316856802</v>
      </c>
      <c r="M25">
        <f t="shared" si="3"/>
        <v>8.3739362954385577</v>
      </c>
      <c r="O25">
        <v>-37.024413272738457</v>
      </c>
      <c r="P25">
        <v>-66.35278508067131</v>
      </c>
      <c r="Q25">
        <v>-100.30372842215002</v>
      </c>
      <c r="R25">
        <v>-45.701266378164291</v>
      </c>
      <c r="T25">
        <f t="shared" si="4"/>
        <v>-62.345548288431019</v>
      </c>
      <c r="U25">
        <f t="shared" si="5"/>
        <v>14.068503191421099</v>
      </c>
    </row>
    <row r="26" spans="1:21" x14ac:dyDescent="0.25">
      <c r="A26" t="s">
        <v>56</v>
      </c>
      <c r="B26">
        <v>-319.19342385046184</v>
      </c>
      <c r="C26">
        <v>-336.92233716696501</v>
      </c>
      <c r="D26">
        <v>-44.316648287698627</v>
      </c>
      <c r="E26">
        <v>1.8462089840322733</v>
      </c>
      <c r="L26">
        <f t="shared" si="0"/>
        <v>-174.6465500802733</v>
      </c>
      <c r="M26">
        <f t="shared" si="3"/>
        <v>89.145390184954451</v>
      </c>
      <c r="O26">
        <v>64.320886699482799</v>
      </c>
      <c r="P26">
        <v>102.42786952853203</v>
      </c>
      <c r="Q26">
        <v>64.982066199183464</v>
      </c>
      <c r="R26">
        <v>22.228238634765148</v>
      </c>
      <c r="T26">
        <f t="shared" si="4"/>
        <v>63.48976526549086</v>
      </c>
      <c r="U26">
        <f t="shared" si="5"/>
        <v>16.384970929717618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14-3-26</vt:lpstr>
      <vt:lpstr>15-3-26</vt:lpstr>
      <vt:lpstr>20-3-26</vt:lpstr>
      <vt:lpstr>21-3-26</vt:lpstr>
      <vt:lpstr>Success rate</vt:lpstr>
      <vt:lpstr>Mean&amp;SE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Yanwarut Camchuen</dc:creator>
  <cp:lastModifiedBy>Yanwarut Camchuen</cp:lastModifiedBy>
  <dcterms:created xsi:type="dcterms:W3CDTF">2026-04-27T04:32:24Z</dcterms:created>
  <dcterms:modified xsi:type="dcterms:W3CDTF">2026-04-28T11:35:59Z</dcterms:modified>
</cp:coreProperties>
</file>